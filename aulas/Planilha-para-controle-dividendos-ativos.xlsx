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se\Downloads\"/>
    </mc:Choice>
  </mc:AlternateContent>
  <xr:revisionPtr revIDLastSave="0" documentId="13_ncr:1_{345A7C76-A932-47AD-8DB9-7F0E439F1D1C}" xr6:coauthVersionLast="47" xr6:coauthVersionMax="47" xr10:uidLastSave="{00000000-0000-0000-0000-000000000000}"/>
  <bookViews>
    <workbookView xWindow="-120" yWindow="-120" windowWidth="29040" windowHeight="15720" activeTab="1" xr2:uid="{3CAB9888-8537-432C-9D1F-364A9C854571}"/>
  </bookViews>
  <sheets>
    <sheet name="Resumo" sheetId="3" r:id="rId1"/>
    <sheet name="MLVE3" sheetId="1" r:id="rId2"/>
  </sheets>
  <definedNames>
    <definedName name="_xlnm.Print_Area" localSheetId="1">MLVE3!$B$2</definedName>
    <definedName name="Estratégi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" i="1" l="1"/>
  <c r="N15" i="1" s="1"/>
  <c r="M14" i="1"/>
  <c r="N14" i="1" s="1"/>
  <c r="M13" i="1"/>
  <c r="N13" i="1" s="1"/>
  <c r="M12" i="1"/>
  <c r="N12" i="1" s="1"/>
  <c r="M11" i="1"/>
  <c r="N11" i="1" s="1"/>
  <c r="M9" i="1"/>
  <c r="N9" i="1" s="1"/>
  <c r="M10" i="1"/>
  <c r="N10" i="1" s="1"/>
  <c r="M8" i="1"/>
  <c r="N8" i="1" s="1"/>
  <c r="M7" i="1"/>
  <c r="N7" i="1" s="1"/>
  <c r="B2" i="1" l="1"/>
  <c r="B3" i="1" l="1"/>
  <c r="D2" i="3" s="1"/>
  <c r="C2" i="3"/>
</calcChain>
</file>

<file path=xl/sharedStrings.xml><?xml version="1.0" encoding="utf-8"?>
<sst xmlns="http://schemas.openxmlformats.org/spreadsheetml/2006/main" count="32" uniqueCount="28">
  <si>
    <t>Data (entrada)</t>
  </si>
  <si>
    <t>Lado</t>
  </si>
  <si>
    <t>Quantidade</t>
  </si>
  <si>
    <t>Data (saída)</t>
  </si>
  <si>
    <t>Resultado bruto</t>
  </si>
  <si>
    <t>Resultado antes de IR</t>
  </si>
  <si>
    <t>Preço (entrada)</t>
  </si>
  <si>
    <t>Preço (saída)</t>
  </si>
  <si>
    <t>Instrumento</t>
  </si>
  <si>
    <t>Tipo de estratégia</t>
  </si>
  <si>
    <t># Estratégia</t>
  </si>
  <si>
    <t>Tipo</t>
  </si>
  <si>
    <t>Strike</t>
  </si>
  <si>
    <t>Vencimento</t>
  </si>
  <si>
    <t>% da meta</t>
  </si>
  <si>
    <t>Resultado acumulado</t>
  </si>
  <si>
    <t>Meta e exposição máxima</t>
  </si>
  <si>
    <t>Ativo-objeto</t>
  </si>
  <si>
    <t>/</t>
  </si>
  <si>
    <t>-</t>
  </si>
  <si>
    <t>Meta</t>
  </si>
  <si>
    <t>Ativo</t>
  </si>
  <si>
    <t>Call</t>
  </si>
  <si>
    <t>C</t>
  </si>
  <si>
    <t>V</t>
  </si>
  <si>
    <t>Dividendos ativos</t>
  </si>
  <si>
    <t>MLVE3</t>
  </si>
  <si>
    <t>MLVEL55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</si>
</sst>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10" fontId="0" fillId="2" borderId="0" xfId="3" applyNumberFormat="1" applyFont="1" applyFill="1"/>
    <xf numFmtId="164" fontId="0" fillId="2" borderId="0" xfId="1" applyNumberFormat="1" applyFont="1" applyFill="1"/>
    <xf numFmtId="0" fontId="0" fillId="2" borderId="1" xfId="0" applyFill="1" applyBorder="1"/>
    <xf numFmtId="164" fontId="0" fillId="2" borderId="1" xfId="1" applyNumberFormat="1" applyFont="1" applyFill="1" applyBorder="1"/>
    <xf numFmtId="14" fontId="0" fillId="2" borderId="1" xfId="0" applyNumberFormat="1" applyFill="1" applyBorder="1"/>
    <xf numFmtId="43" fontId="0" fillId="2" borderId="1" xfId="1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44" fontId="0" fillId="2" borderId="1" xfId="2" applyFont="1" applyFill="1" applyBorder="1"/>
    <xf numFmtId="44" fontId="0" fillId="3" borderId="1" xfId="2" applyFont="1" applyFill="1" applyBorder="1"/>
    <xf numFmtId="165" fontId="0" fillId="3" borderId="1" xfId="3" applyNumberFormat="1" applyFont="1" applyFill="1" applyBorder="1"/>
    <xf numFmtId="164" fontId="3" fillId="2" borderId="0" xfId="1" applyNumberFormat="1" applyFont="1" applyFill="1"/>
    <xf numFmtId="10" fontId="0" fillId="2" borderId="1" xfId="3" applyNumberFormat="1" applyFont="1" applyFill="1" applyBorder="1"/>
    <xf numFmtId="44" fontId="0" fillId="2" borderId="1" xfId="0" applyNumberFormat="1" applyFill="1" applyBorder="1"/>
    <xf numFmtId="10" fontId="2" fillId="2" borderId="1" xfId="3" applyNumberFormat="1" applyFont="1" applyFill="1" applyBorder="1"/>
    <xf numFmtId="43" fontId="0" fillId="2" borderId="0" xfId="1" applyFont="1" applyFill="1"/>
    <xf numFmtId="2" fontId="0" fillId="2" borderId="1" xfId="0" applyNumberFormat="1" applyFill="1" applyBorder="1"/>
    <xf numFmtId="0" fontId="0" fillId="0" borderId="1" xfId="0" applyBorder="1"/>
    <xf numFmtId="43" fontId="0" fillId="4" borderId="1" xfId="1" applyFont="1" applyFill="1" applyBorder="1"/>
    <xf numFmtId="43" fontId="0" fillId="2" borderId="0" xfId="0" applyNumberFormat="1" applyFill="1"/>
    <xf numFmtId="16" fontId="0" fillId="2" borderId="0" xfId="0" applyNumberFormat="1" applyFill="1"/>
    <xf numFmtId="15" fontId="0" fillId="2" borderId="0" xfId="0" applyNumberFormat="1" applyFill="1"/>
    <xf numFmtId="2" fontId="0" fillId="0" borderId="1" xfId="0" applyNumberFormat="1" applyFill="1" applyBorder="1"/>
    <xf numFmtId="14" fontId="0" fillId="0" borderId="1" xfId="0" applyNumberFormat="1" applyFill="1" applyBorder="1"/>
    <xf numFmtId="43" fontId="0" fillId="0" borderId="1" xfId="1" applyFont="1" applyFill="1" applyBorder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E2230-420C-41A4-AD3D-DE5D11A2646F}">
  <dimension ref="A1:D8"/>
  <sheetViews>
    <sheetView workbookViewId="0">
      <selection activeCell="B14" sqref="B14"/>
    </sheetView>
  </sheetViews>
  <sheetFormatPr defaultColWidth="8.85546875" defaultRowHeight="15" x14ac:dyDescent="0.25"/>
  <cols>
    <col min="1" max="1" width="12.28515625" style="1" bestFit="1" customWidth="1"/>
    <col min="2" max="2" width="24.28515625" style="1" bestFit="1" customWidth="1"/>
    <col min="3" max="3" width="20.28515625" style="1" bestFit="1" customWidth="1"/>
    <col min="4" max="4" width="10.140625" style="2" bestFit="1" customWidth="1"/>
    <col min="5" max="16384" width="8.85546875" style="1"/>
  </cols>
  <sheetData>
    <row r="1" spans="1:4" x14ac:dyDescent="0.25">
      <c r="A1" s="8" t="s">
        <v>17</v>
      </c>
      <c r="B1" s="8" t="s">
        <v>16</v>
      </c>
      <c r="C1" s="8" t="s">
        <v>15</v>
      </c>
      <c r="D1" s="17" t="s">
        <v>14</v>
      </c>
    </row>
    <row r="2" spans="1:4" x14ac:dyDescent="0.25">
      <c r="A2" s="4"/>
      <c r="B2" s="16"/>
      <c r="C2" s="16">
        <f>MLVE3!B2</f>
        <v>53.999999999999893</v>
      </c>
      <c r="D2" s="15">
        <f>MLVE3!B3</f>
        <v>5.3999999999999895E-2</v>
      </c>
    </row>
    <row r="3" spans="1:4" x14ac:dyDescent="0.25">
      <c r="A3" s="4"/>
      <c r="B3" s="4"/>
      <c r="C3" s="4"/>
      <c r="D3" s="15"/>
    </row>
    <row r="4" spans="1:4" x14ac:dyDescent="0.25">
      <c r="A4" s="4"/>
      <c r="B4" s="4"/>
      <c r="C4" s="4"/>
      <c r="D4" s="15"/>
    </row>
    <row r="5" spans="1:4" x14ac:dyDescent="0.25">
      <c r="A5" s="4"/>
      <c r="B5" s="4"/>
      <c r="C5" s="4"/>
      <c r="D5" s="15"/>
    </row>
    <row r="6" spans="1:4" x14ac:dyDescent="0.25">
      <c r="A6" s="4"/>
      <c r="B6" s="4"/>
      <c r="C6" s="4"/>
      <c r="D6" s="15"/>
    </row>
    <row r="7" spans="1:4" x14ac:dyDescent="0.25">
      <c r="A7" s="4"/>
      <c r="B7" s="4"/>
      <c r="C7" s="4"/>
      <c r="D7" s="15"/>
    </row>
    <row r="8" spans="1:4" x14ac:dyDescent="0.25">
      <c r="A8" s="4"/>
      <c r="B8" s="4"/>
      <c r="C8" s="4"/>
      <c r="D8" s="15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83715-B1FC-40D4-9A38-680147B9D6E0}">
  <dimension ref="A1:N28"/>
  <sheetViews>
    <sheetView tabSelected="1" zoomScale="150" zoomScaleNormal="100" workbookViewId="0">
      <selection activeCell="A9" sqref="A9:G9"/>
    </sheetView>
  </sheetViews>
  <sheetFormatPr defaultColWidth="8.85546875" defaultRowHeight="15" x14ac:dyDescent="0.25"/>
  <cols>
    <col min="1" max="1" width="23.85546875" style="1" customWidth="1"/>
    <col min="2" max="2" width="14.28515625" style="1" bestFit="1" customWidth="1"/>
    <col min="3" max="3" width="12" style="1" bestFit="1" customWidth="1"/>
    <col min="4" max="4" width="12" style="1" customWidth="1"/>
    <col min="5" max="5" width="10" style="1" customWidth="1"/>
    <col min="6" max="6" width="19.28515625" style="1" customWidth="1"/>
    <col min="7" max="7" width="13.85546875" style="1" bestFit="1" customWidth="1"/>
    <col min="8" max="8" width="5.140625" style="1" bestFit="1" customWidth="1"/>
    <col min="9" max="9" width="14.42578125" style="3" bestFit="1" customWidth="1"/>
    <col min="10" max="10" width="14.85546875" style="1" bestFit="1" customWidth="1"/>
    <col min="11" max="11" width="12.28515625" style="1" bestFit="1" customWidth="1"/>
    <col min="12" max="12" width="11.28515625" style="1" bestFit="1" customWidth="1"/>
    <col min="13" max="13" width="15.28515625" style="1" bestFit="1" customWidth="1"/>
    <col min="14" max="14" width="20.28515625" style="1" bestFit="1" customWidth="1"/>
    <col min="15" max="15" width="8.85546875" style="1"/>
    <col min="16" max="16" width="12.28515625" style="1" bestFit="1" customWidth="1"/>
    <col min="17" max="17" width="10.5703125" style="1" bestFit="1" customWidth="1"/>
    <col min="18" max="16384" width="8.85546875" style="1"/>
  </cols>
  <sheetData>
    <row r="1" spans="1:14" x14ac:dyDescent="0.25">
      <c r="A1" s="4" t="s">
        <v>20</v>
      </c>
      <c r="B1" s="11">
        <v>1000</v>
      </c>
      <c r="I1" s="14" t="s">
        <v>18</v>
      </c>
    </row>
    <row r="2" spans="1:14" x14ac:dyDescent="0.25">
      <c r="A2" s="4" t="s">
        <v>15</v>
      </c>
      <c r="B2" s="12">
        <f>SUM(N7:N1048576)</f>
        <v>53.999999999999893</v>
      </c>
    </row>
    <row r="3" spans="1:14" x14ac:dyDescent="0.25">
      <c r="A3" s="4" t="s">
        <v>14</v>
      </c>
      <c r="B3" s="13">
        <f>B2/B1</f>
        <v>5.3999999999999895E-2</v>
      </c>
    </row>
    <row r="6" spans="1:14" x14ac:dyDescent="0.25">
      <c r="A6" s="9" t="s">
        <v>9</v>
      </c>
      <c r="B6" s="9" t="s">
        <v>10</v>
      </c>
      <c r="C6" s="9" t="s">
        <v>8</v>
      </c>
      <c r="D6" s="9" t="s">
        <v>11</v>
      </c>
      <c r="E6" s="9" t="s">
        <v>12</v>
      </c>
      <c r="F6" s="9" t="s">
        <v>13</v>
      </c>
      <c r="G6" s="9" t="s">
        <v>0</v>
      </c>
      <c r="H6" s="9" t="s">
        <v>1</v>
      </c>
      <c r="I6" s="10" t="s">
        <v>2</v>
      </c>
      <c r="J6" s="9" t="s">
        <v>6</v>
      </c>
      <c r="K6" s="9" t="s">
        <v>7</v>
      </c>
      <c r="L6" s="9" t="s">
        <v>3</v>
      </c>
      <c r="M6" s="9" t="s">
        <v>4</v>
      </c>
      <c r="N6" s="9" t="s">
        <v>5</v>
      </c>
    </row>
    <row r="7" spans="1:14" x14ac:dyDescent="0.25">
      <c r="A7" s="4" t="s">
        <v>25</v>
      </c>
      <c r="B7" s="4">
        <v>1</v>
      </c>
      <c r="C7" s="4" t="s">
        <v>26</v>
      </c>
      <c r="D7" s="4" t="s">
        <v>21</v>
      </c>
      <c r="E7" s="4" t="s">
        <v>19</v>
      </c>
      <c r="F7" s="6" t="s">
        <v>19</v>
      </c>
      <c r="G7" s="6">
        <v>45231</v>
      </c>
      <c r="H7" s="4" t="s">
        <v>23</v>
      </c>
      <c r="I7" s="5">
        <v>100</v>
      </c>
      <c r="J7" s="7">
        <v>50</v>
      </c>
      <c r="K7" s="25">
        <v>50.72</v>
      </c>
      <c r="L7" s="26">
        <v>45238</v>
      </c>
      <c r="M7" s="21">
        <f t="shared" ref="M7:M15" si="0">IF(H7="V",J7-K7,K7-J7)*ABS(I7)</f>
        <v>71.999999999999886</v>
      </c>
      <c r="N7" s="7">
        <f t="shared" ref="N7:N15" si="1">SUM(M7:M7)</f>
        <v>71.999999999999886</v>
      </c>
    </row>
    <row r="8" spans="1:14" x14ac:dyDescent="0.25">
      <c r="A8" s="4" t="s">
        <v>25</v>
      </c>
      <c r="B8" s="4">
        <v>1</v>
      </c>
      <c r="C8" s="4" t="s">
        <v>27</v>
      </c>
      <c r="D8" s="4" t="s">
        <v>22</v>
      </c>
      <c r="E8" s="19">
        <v>55</v>
      </c>
      <c r="F8" s="6">
        <v>45275</v>
      </c>
      <c r="G8" s="6">
        <v>45231</v>
      </c>
      <c r="H8" s="4" t="s">
        <v>24</v>
      </c>
      <c r="I8" s="5">
        <v>100</v>
      </c>
      <c r="J8" s="7">
        <v>1</v>
      </c>
      <c r="K8" s="27">
        <v>1.18</v>
      </c>
      <c r="L8" s="26">
        <v>45238</v>
      </c>
      <c r="M8" s="21">
        <f t="shared" si="0"/>
        <v>-17.999999999999993</v>
      </c>
      <c r="N8" s="7">
        <f t="shared" si="1"/>
        <v>-17.999999999999993</v>
      </c>
    </row>
    <row r="9" spans="1:14" x14ac:dyDescent="0.25">
      <c r="A9" s="4"/>
      <c r="B9" s="4"/>
      <c r="C9" s="4"/>
      <c r="D9" s="4"/>
      <c r="E9" s="19"/>
      <c r="F9" s="6"/>
      <c r="G9" s="6"/>
      <c r="H9" s="4"/>
      <c r="I9" s="5"/>
      <c r="J9" s="7"/>
      <c r="K9" s="27"/>
      <c r="L9" s="26"/>
      <c r="M9" s="21">
        <f t="shared" si="0"/>
        <v>0</v>
      </c>
      <c r="N9" s="7">
        <f t="shared" si="1"/>
        <v>0</v>
      </c>
    </row>
    <row r="10" spans="1:14" x14ac:dyDescent="0.25">
      <c r="A10" s="4"/>
      <c r="B10" s="4"/>
      <c r="C10" s="4"/>
      <c r="D10" s="4"/>
      <c r="E10" s="19"/>
      <c r="F10" s="6"/>
      <c r="G10" s="6"/>
      <c r="H10" s="4"/>
      <c r="I10" s="5"/>
      <c r="J10" s="7"/>
      <c r="K10" s="27"/>
      <c r="L10" s="26"/>
      <c r="M10" s="21">
        <f t="shared" si="0"/>
        <v>0</v>
      </c>
      <c r="N10" s="7">
        <f t="shared" si="1"/>
        <v>0</v>
      </c>
    </row>
    <row r="11" spans="1:14" x14ac:dyDescent="0.25">
      <c r="A11" s="4"/>
      <c r="B11" s="4"/>
      <c r="C11" s="4"/>
      <c r="D11" s="4"/>
      <c r="E11" s="19"/>
      <c r="F11" s="6"/>
      <c r="G11" s="6"/>
      <c r="H11" s="4"/>
      <c r="I11" s="5"/>
      <c r="J11" s="7"/>
      <c r="K11" s="27"/>
      <c r="L11" s="26"/>
      <c r="M11" s="21">
        <f t="shared" si="0"/>
        <v>0</v>
      </c>
      <c r="N11" s="7">
        <f t="shared" si="1"/>
        <v>0</v>
      </c>
    </row>
    <row r="12" spans="1:14" x14ac:dyDescent="0.25">
      <c r="A12" s="4"/>
      <c r="B12" s="4"/>
      <c r="C12" s="4"/>
      <c r="D12" s="4"/>
      <c r="E12" s="19"/>
      <c r="F12" s="6"/>
      <c r="G12" s="6"/>
      <c r="H12" s="4"/>
      <c r="I12" s="5"/>
      <c r="J12" s="7"/>
      <c r="K12" s="7"/>
      <c r="L12" s="6"/>
      <c r="M12" s="21">
        <f t="shared" si="0"/>
        <v>0</v>
      </c>
      <c r="N12" s="7">
        <f t="shared" si="1"/>
        <v>0</v>
      </c>
    </row>
    <row r="13" spans="1:14" x14ac:dyDescent="0.25">
      <c r="A13" s="4"/>
      <c r="B13" s="4"/>
      <c r="C13" s="4"/>
      <c r="D13" s="4"/>
      <c r="E13" s="19"/>
      <c r="F13" s="6"/>
      <c r="G13" s="6"/>
      <c r="H13" s="4"/>
      <c r="I13" s="5"/>
      <c r="J13" s="4"/>
      <c r="K13" s="4"/>
      <c r="L13" s="6"/>
      <c r="M13" s="21">
        <f t="shared" si="0"/>
        <v>0</v>
      </c>
      <c r="N13" s="7">
        <f t="shared" si="1"/>
        <v>0</v>
      </c>
    </row>
    <row r="14" spans="1:14" x14ac:dyDescent="0.25">
      <c r="A14" s="4"/>
      <c r="B14" s="4"/>
      <c r="C14" s="4"/>
      <c r="D14" s="4"/>
      <c r="E14" s="19"/>
      <c r="F14" s="6"/>
      <c r="G14" s="6"/>
      <c r="H14" s="4"/>
      <c r="I14" s="5"/>
      <c r="J14" s="19"/>
      <c r="K14" s="4"/>
      <c r="L14" s="6"/>
      <c r="M14" s="21">
        <f t="shared" si="0"/>
        <v>0</v>
      </c>
      <c r="N14" s="7">
        <f t="shared" si="1"/>
        <v>0</v>
      </c>
    </row>
    <row r="15" spans="1:14" x14ac:dyDescent="0.25">
      <c r="A15" s="4"/>
      <c r="B15" s="4"/>
      <c r="C15" s="4"/>
      <c r="D15" s="4"/>
      <c r="E15" s="19"/>
      <c r="F15" s="6"/>
      <c r="G15" s="6"/>
      <c r="H15" s="4"/>
      <c r="I15" s="5"/>
      <c r="J15" s="20"/>
      <c r="K15" s="20"/>
      <c r="L15" s="6"/>
      <c r="M15" s="21">
        <f t="shared" si="0"/>
        <v>0</v>
      </c>
      <c r="N15" s="7">
        <f t="shared" si="1"/>
        <v>0</v>
      </c>
    </row>
    <row r="16" spans="1:14" x14ac:dyDescent="0.25">
      <c r="E16" s="18"/>
      <c r="I16" s="18"/>
    </row>
    <row r="17" spans="5:11" x14ac:dyDescent="0.25">
      <c r="E17" s="18"/>
      <c r="I17" s="18"/>
    </row>
    <row r="18" spans="5:11" x14ac:dyDescent="0.25">
      <c r="F18" s="23"/>
      <c r="G18" s="24"/>
    </row>
    <row r="19" spans="5:11" x14ac:dyDescent="0.25">
      <c r="J19" s="22"/>
    </row>
    <row r="20" spans="5:11" x14ac:dyDescent="0.25">
      <c r="K20" s="22"/>
    </row>
    <row r="22" spans="5:11" x14ac:dyDescent="0.25">
      <c r="J22" s="22"/>
    </row>
    <row r="23" spans="5:11" x14ac:dyDescent="0.25">
      <c r="K23" s="22"/>
    </row>
    <row r="28" spans="5:11" x14ac:dyDescent="0.25">
      <c r="F28" s="2"/>
    </row>
  </sheetData>
  <dataValidations count="1">
    <dataValidation type="list" allowBlank="1" showInputMessage="1" showErrorMessage="1" sqref="D13 D7:D11" xr:uid="{C56DA003-3054-40E5-9848-7351554373CC}">
      <formula1>"Ativo,Call,Put"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Resumo</vt:lpstr>
      <vt:lpstr>MLVE3</vt:lpstr>
      <vt:lpstr>MLVE3!Area_de_impressao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Raony Bourscheidt Rossetti</dc:creator>
  <cp:lastModifiedBy>Raony Bourscheidt Rossetti</cp:lastModifiedBy>
  <dcterms:created xsi:type="dcterms:W3CDTF">2021-01-31T19:30:50Z</dcterms:created>
  <dcterms:modified xsi:type="dcterms:W3CDTF">2023-04-12T13:29:09Z</dcterms:modified>
</cp:coreProperties>
</file>